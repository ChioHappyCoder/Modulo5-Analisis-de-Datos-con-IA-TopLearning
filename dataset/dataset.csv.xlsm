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alcChain.xml" ContentType="application/vnd.openxmlformats-officedocument.spreadsheetml.calcChain+xml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/>
  <workbookPr defaultThemeVersion="202300"/>
  <mc:AlternateContent xmlns:mc="http://schemas.openxmlformats.org/markup-compatibility/2006">
    <mc:Choice Requires="x15">
      <x15ac:absPath xmlns:x15ac="http://schemas.microsoft.com/office/spreadsheetml/2010/11/ac" url="C:\Users\rocio\GitHub\Modulo5-Analisis-de-Datos-con-IA-TopLearning\dataset\"/>
    </mc:Choice>
  </mc:AlternateContent>
  <xr:revisionPtr revIDLastSave="0" documentId="13_ncr:9_{E2B0F6D1-CEF7-4EFE-9B79-5098128934EC}" xr6:coauthVersionLast="47" xr6:coauthVersionMax="47" xr10:uidLastSave="{00000000-0000-0000-0000-000000000000}"/>
  <bookViews>
    <workbookView xWindow="-120" yWindow="-120" windowWidth="24240" windowHeight="14520" xr2:uid="{113312FC-68E7-4698-9AFC-E3F5BDD1358A}"/>
  </bookViews>
  <sheets>
    <sheet name="DataSet" sheetId="1" r:id="rId1"/>
    <sheet name="Dashboard" sheetId="2" r:id="rId2"/>
  </sheets>
  <calcPr calcId="0"/>
</workbook>
</file>

<file path=xl/calcChain.xml><?xml version="1.0" encoding="utf-8"?>
<calcChain xmlns="http://schemas.openxmlformats.org/spreadsheetml/2006/main">
  <c r="B36" i="2" l="1"/>
  <c r="B35" i="2"/>
  <c r="B34" i="2"/>
  <c r="B33" i="2"/>
  <c r="B32" i="2"/>
  <c r="H9" i="2"/>
  <c r="H8" i="2"/>
  <c r="E9" i="2"/>
  <c r="E8" i="2"/>
  <c r="B12" i="2"/>
  <c r="B11" i="2"/>
  <c r="B10" i="2"/>
  <c r="B9" i="2"/>
  <c r="B8" i="2"/>
  <c r="H3" i="2"/>
  <c r="F3" i="2"/>
  <c r="D3" i="2"/>
  <c r="B3" i="2"/>
</calcChain>
</file>

<file path=xl/sharedStrings.xml><?xml version="1.0" encoding="utf-8"?>
<sst xmlns="http://schemas.openxmlformats.org/spreadsheetml/2006/main" count="155" uniqueCount="32">
  <si>
    <t>ID</t>
  </si>
  <si>
    <t>Edad</t>
  </si>
  <si>
    <t>Presion_Sistolica</t>
  </si>
  <si>
    <t>Altura</t>
  </si>
  <si>
    <t>Peso</t>
  </si>
  <si>
    <t>Clasificacion_Presion</t>
  </si>
  <si>
    <t>Genero</t>
  </si>
  <si>
    <t>Alta</t>
  </si>
  <si>
    <t>M</t>
  </si>
  <si>
    <t>Crisis Hipertensiva</t>
  </si>
  <si>
    <t>H</t>
  </si>
  <si>
    <t>Normal Alta</t>
  </si>
  <si>
    <t>Muy Alta</t>
  </si>
  <si>
    <t>Normal</t>
  </si>
  <si>
    <t>Dashboard de Salud - Pacientes</t>
  </si>
  <si>
    <t>Total Pacientes</t>
  </si>
  <si>
    <t>Edad Promedio</t>
  </si>
  <si>
    <t>Presión Sistólica Prom.</t>
  </si>
  <si>
    <t>Peso Promedio (kg)</t>
  </si>
  <si>
    <t>Clasificación de Presión</t>
  </si>
  <si>
    <t>Categoría</t>
  </si>
  <si>
    <t>Pacientes</t>
  </si>
  <si>
    <t>Distribución por Género</t>
  </si>
  <si>
    <t>Género</t>
  </si>
  <si>
    <t>Presión Promedio por Género</t>
  </si>
  <si>
    <t>Presión Prom.</t>
  </si>
  <si>
    <t>Rango de Edad</t>
  </si>
  <si>
    <t>0-20</t>
  </si>
  <si>
    <t>21-35</t>
  </si>
  <si>
    <t>36-50</t>
  </si>
  <si>
    <t>51-65</t>
  </si>
  <si>
    <t>66+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</si>
</sst>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8" formatCode="0.0"/>
  </numFmts>
  <fonts count="21" x14ac:knownFonts="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8"/>
      <color theme="3"/>
      <name val="Aptos Display"/>
      <family val="2"/>
      <scheme val="major"/>
    </font>
    <font>
      <b/>
      <sz val="15"/>
      <color theme="3"/>
      <name val="Aptos Narrow"/>
      <family val="2"/>
      <scheme val="minor"/>
    </font>
    <font>
      <b/>
      <sz val="13"/>
      <color theme="3"/>
      <name val="Aptos Narrow"/>
      <family val="2"/>
      <scheme val="minor"/>
    </font>
    <font>
      <b/>
      <sz val="11"/>
      <color theme="3"/>
      <name val="Aptos Narrow"/>
      <family val="2"/>
      <scheme val="minor"/>
    </font>
    <font>
      <sz val="11"/>
      <color rgb="FF006100"/>
      <name val="Aptos Narrow"/>
      <family val="2"/>
      <scheme val="minor"/>
    </font>
    <font>
      <sz val="11"/>
      <color rgb="FF9C0006"/>
      <name val="Aptos Narrow"/>
      <family val="2"/>
      <scheme val="minor"/>
    </font>
    <font>
      <sz val="11"/>
      <color rgb="FF9C5700"/>
      <name val="Aptos Narrow"/>
      <family val="2"/>
      <scheme val="minor"/>
    </font>
    <font>
      <sz val="11"/>
      <color rgb="FF3F3F76"/>
      <name val="Aptos Narrow"/>
      <family val="2"/>
      <scheme val="minor"/>
    </font>
    <font>
      <b/>
      <sz val="11"/>
      <color rgb="FF3F3F3F"/>
      <name val="Aptos Narrow"/>
      <family val="2"/>
      <scheme val="minor"/>
    </font>
    <font>
      <b/>
      <sz val="11"/>
      <color rgb="FFFA7D00"/>
      <name val="Aptos Narrow"/>
      <family val="2"/>
      <scheme val="minor"/>
    </font>
    <font>
      <sz val="11"/>
      <color rgb="FFFA7D00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sz val="11"/>
      <color rgb="FFFF0000"/>
      <name val="Aptos Narrow"/>
      <family val="2"/>
      <scheme val="minor"/>
    </font>
    <font>
      <i/>
      <sz val="11"/>
      <color rgb="FF7F7F7F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theme="0"/>
      <name val="Aptos Narrow"/>
      <family val="2"/>
      <scheme val="minor"/>
    </font>
    <font>
      <sz val="11"/>
      <name val="Arial"/>
      <family val="2"/>
    </font>
    <font>
      <b/>
      <sz val="18"/>
      <color rgb="FF1F4E78"/>
      <name val="Aptos Narrow"/>
      <family val="2"/>
      <scheme val="minor"/>
    </font>
    <font>
      <b/>
      <sz val="13"/>
      <color theme="1"/>
      <name val="Aptos Narrow"/>
      <family val="2"/>
      <scheme val="minor"/>
    </font>
  </fonts>
  <fills count="34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DDEBF7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11">
    <xf numFmtId="0" fontId="0" fillId="0" borderId="0" xfId="0"/>
    <xf numFmtId="0" fontId="19" fillId="0" borderId="0" xfId="0" applyFont="1"/>
    <xf numFmtId="0" fontId="16" fillId="0" borderId="0" xfId="0" applyFont="1"/>
    <xf numFmtId="0" fontId="16" fillId="33" borderId="0" xfId="0" applyFont="1" applyFill="1"/>
    <xf numFmtId="0" fontId="16" fillId="0" borderId="0" xfId="0" applyFont="1" applyAlignment="1">
      <alignment horizontal="center"/>
    </xf>
    <xf numFmtId="168" fontId="16" fillId="0" borderId="0" xfId="0" applyNumberFormat="1" applyFont="1" applyAlignment="1">
      <alignment horizontal="center"/>
    </xf>
    <xf numFmtId="0" fontId="20" fillId="0" borderId="0" xfId="0" applyFont="1"/>
    <xf numFmtId="168" fontId="0" fillId="0" borderId="0" xfId="0" applyNumberFormat="1"/>
    <xf numFmtId="0" fontId="18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2" fontId="0" fillId="0" borderId="0" xfId="0" applyNumberFormat="1" applyAlignment="1">
      <alignment horizontal="center" vertical="center"/>
    </xf>
  </cellXfs>
  <cellStyles count="42">
    <cellStyle name="20% - Énfasis1" xfId="19" builtinId="30" customBuiltin="1"/>
    <cellStyle name="20% - Énfasis2" xfId="23" builtinId="34" customBuiltin="1"/>
    <cellStyle name="20% - Énfasis3" xfId="27" builtinId="38" customBuiltin="1"/>
    <cellStyle name="20% - Énfasis4" xfId="31" builtinId="42" customBuiltin="1"/>
    <cellStyle name="20% - Énfasis5" xfId="35" builtinId="46" customBuiltin="1"/>
    <cellStyle name="20% - Énfasis6" xfId="39" builtinId="50" customBuiltin="1"/>
    <cellStyle name="40% - Énfasis1" xfId="20" builtinId="31" customBuiltin="1"/>
    <cellStyle name="40% - Énfasis2" xfId="24" builtinId="35" customBuiltin="1"/>
    <cellStyle name="40% - Énfasis3" xfId="28" builtinId="39" customBuiltin="1"/>
    <cellStyle name="40% - Énfasis4" xfId="32" builtinId="43" customBuiltin="1"/>
    <cellStyle name="40% - Énfasis5" xfId="36" builtinId="47" customBuiltin="1"/>
    <cellStyle name="40% - Énfasis6" xfId="40" builtinId="51" customBuiltin="1"/>
    <cellStyle name="60% - Énfasis1" xfId="21" builtinId="32" customBuiltin="1"/>
    <cellStyle name="60% - Énfasis2" xfId="25" builtinId="36" customBuiltin="1"/>
    <cellStyle name="60% - Énfasis3" xfId="29" builtinId="40" customBuiltin="1"/>
    <cellStyle name="60% - Énfasis4" xfId="33" builtinId="44" customBuiltin="1"/>
    <cellStyle name="60% - Énfasis5" xfId="37" builtinId="48" customBuiltin="1"/>
    <cellStyle name="60% - Énfasis6" xfId="41" builtinId="52" customBuiltin="1"/>
    <cellStyle name="Bueno" xfId="6" builtinId="26" customBuiltin="1"/>
    <cellStyle name="Cálculo" xfId="11" builtinId="22" customBuiltin="1"/>
    <cellStyle name="Celda de comprobación" xfId="13" builtinId="23" customBuiltin="1"/>
    <cellStyle name="Celda vinculada" xfId="12" builtinId="24" customBuiltin="1"/>
    <cellStyle name="Encabezado 1" xfId="2" builtinId="16" customBuiltin="1"/>
    <cellStyle name="Encabezado 4" xfId="5" builtinId="19" customBuiltin="1"/>
    <cellStyle name="Énfasis1" xfId="18" builtinId="29" customBuiltin="1"/>
    <cellStyle name="Énfasis2" xfId="22" builtinId="33" customBuiltin="1"/>
    <cellStyle name="Énfasis3" xfId="26" builtinId="37" customBuiltin="1"/>
    <cellStyle name="Énfasis4" xfId="30" builtinId="41" customBuiltin="1"/>
    <cellStyle name="Énfasis5" xfId="34" builtinId="45" customBuiltin="1"/>
    <cellStyle name="Énfasis6" xfId="38" builtinId="49" customBuiltin="1"/>
    <cellStyle name="Entrada" xfId="9" builtinId="20" customBuiltin="1"/>
    <cellStyle name="Incorrecto" xfId="7" builtinId="27" customBuiltin="1"/>
    <cellStyle name="Neutral" xfId="8" builtinId="28" customBuiltin="1"/>
    <cellStyle name="Normal" xfId="0" builtinId="0"/>
    <cellStyle name="Notas" xfId="15" builtinId="10" customBuiltin="1"/>
    <cellStyle name="Salida" xfId="10" builtinId="21" customBuiltin="1"/>
    <cellStyle name="Texto de advertencia" xfId="14" builtinId="11" customBuiltin="1"/>
    <cellStyle name="Texto explicativo" xfId="16" builtinId="53" customBuiltin="1"/>
    <cellStyle name="Título" xfId="1" builtinId="15" customBuiltin="1"/>
    <cellStyle name="Título 2" xfId="3" builtinId="17" customBuiltin="1"/>
    <cellStyle name="Título 3" xfId="4" builtinId="18" customBuiltin="1"/>
    <cellStyle name="Total" xfId="17" builtinId="25" customBuiltin="1"/>
  </cellStyles>
  <dxfs count="9"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Clasificación de Presión Arterial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MX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Dashboard!$B$7</c:f>
              <c:strCache>
                <c:ptCount val="1"/>
                <c:pt idx="0">
                  <c:v>Pacientes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</c:dPt>
          <c:cat>
            <c:strRef>
              <c:f>Dashboard!$A$8:$A$12</c:f>
              <c:strCache>
                <c:ptCount val="5"/>
                <c:pt idx="0">
                  <c:v>Normal</c:v>
                </c:pt>
                <c:pt idx="1">
                  <c:v>Normal Alta</c:v>
                </c:pt>
                <c:pt idx="2">
                  <c:v>Alta</c:v>
                </c:pt>
                <c:pt idx="3">
                  <c:v>Muy Alta</c:v>
                </c:pt>
                <c:pt idx="4">
                  <c:v>Crisis Hipertensiva</c:v>
                </c:pt>
              </c:strCache>
            </c:strRef>
          </c:cat>
          <c:val>
            <c:numRef>
              <c:f>Dashboard!$B$8:$B$12</c:f>
              <c:numCache>
                <c:formatCode>General</c:formatCode>
                <c:ptCount val="5"/>
                <c:pt idx="0">
                  <c:v>6</c:v>
                </c:pt>
                <c:pt idx="1">
                  <c:v>19</c:v>
                </c:pt>
                <c:pt idx="2">
                  <c:v>24</c:v>
                </c:pt>
                <c:pt idx="3">
                  <c:v>7</c:v>
                </c:pt>
                <c:pt idx="4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1AF-4AB7-9B92-8D74FE8908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MX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Distribución por Género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MX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Dashboard!$E$7</c:f>
              <c:strCache>
                <c:ptCount val="1"/>
                <c:pt idx="0">
                  <c:v>Pacientes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Dashboard!$D$8:$D$9</c:f>
              <c:strCache>
                <c:ptCount val="2"/>
                <c:pt idx="0">
                  <c:v>M</c:v>
                </c:pt>
                <c:pt idx="1">
                  <c:v>H</c:v>
                </c:pt>
              </c:strCache>
            </c:strRef>
          </c:cat>
          <c:val>
            <c:numRef>
              <c:f>Dashboard!$E$8:$E$9</c:f>
              <c:numCache>
                <c:formatCode>General</c:formatCode>
                <c:ptCount val="2"/>
                <c:pt idx="0">
                  <c:v>27</c:v>
                </c:pt>
                <c:pt idx="1">
                  <c:v>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48E-4159-8991-16EB5E5B49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006631808"/>
        <c:axId val="988940368"/>
      </c:barChart>
      <c:catAx>
        <c:axId val="10066318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988940368"/>
        <c:crosses val="autoZero"/>
        <c:auto val="1"/>
        <c:lblAlgn val="ctr"/>
        <c:lblOffset val="100"/>
        <c:noMultiLvlLbl val="0"/>
      </c:catAx>
      <c:valAx>
        <c:axId val="9889403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0066318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Presión Sistólica Promedio por Género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MX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Dashboard!$H$7</c:f>
              <c:strCache>
                <c:ptCount val="1"/>
                <c:pt idx="0">
                  <c:v>Presión Prom.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Dashboard!$G$8:$G$9</c:f>
              <c:strCache>
                <c:ptCount val="2"/>
                <c:pt idx="0">
                  <c:v>M</c:v>
                </c:pt>
                <c:pt idx="1">
                  <c:v>H</c:v>
                </c:pt>
              </c:strCache>
            </c:strRef>
          </c:cat>
          <c:val>
            <c:numRef>
              <c:f>Dashboard!$H$8:$H$9</c:f>
              <c:numCache>
                <c:formatCode>0.0</c:formatCode>
                <c:ptCount val="2"/>
                <c:pt idx="0">
                  <c:v>140.7037037037037</c:v>
                </c:pt>
                <c:pt idx="1">
                  <c:v>143.5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373-4312-A8B5-9A19E0A0006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092612256"/>
        <c:axId val="887850480"/>
      </c:barChart>
      <c:catAx>
        <c:axId val="10926122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887850480"/>
        <c:crosses val="autoZero"/>
        <c:auto val="1"/>
        <c:lblAlgn val="ctr"/>
        <c:lblOffset val="100"/>
        <c:noMultiLvlLbl val="0"/>
      </c:catAx>
      <c:valAx>
        <c:axId val="8878504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0926122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Distribución de Edad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MX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Dashboard!$B$31</c:f>
              <c:strCache>
                <c:ptCount val="1"/>
                <c:pt idx="0">
                  <c:v>Pacientes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Dashboard!$A$32:$A$36</c:f>
              <c:strCache>
                <c:ptCount val="5"/>
                <c:pt idx="0">
                  <c:v>0-20</c:v>
                </c:pt>
                <c:pt idx="1">
                  <c:v>21-35</c:v>
                </c:pt>
                <c:pt idx="2">
                  <c:v>36-50</c:v>
                </c:pt>
                <c:pt idx="3">
                  <c:v>51-65</c:v>
                </c:pt>
                <c:pt idx="4">
                  <c:v>66+</c:v>
                </c:pt>
              </c:strCache>
            </c:strRef>
          </c:cat>
          <c:val>
            <c:numRef>
              <c:f>Dashboard!$B$32:$B$36</c:f>
              <c:numCache>
                <c:formatCode>General</c:formatCode>
                <c:ptCount val="5"/>
                <c:pt idx="0">
                  <c:v>6</c:v>
                </c:pt>
                <c:pt idx="1">
                  <c:v>9</c:v>
                </c:pt>
                <c:pt idx="2">
                  <c:v>24</c:v>
                </c:pt>
                <c:pt idx="3">
                  <c:v>14</c:v>
                </c:pt>
                <c:pt idx="4">
                  <c:v>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03B-4C7F-A3FB-9BFCB23BF45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106145456"/>
        <c:axId val="885098160"/>
      </c:barChart>
      <c:catAx>
        <c:axId val="11061454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885098160"/>
        <c:crosses val="autoZero"/>
        <c:auto val="1"/>
        <c:lblAlgn val="ctr"/>
        <c:lblOffset val="100"/>
        <c:noMultiLvlLbl val="0"/>
      </c:catAx>
      <c:valAx>
        <c:axId val="8850981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1061454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13</xdr:row>
      <xdr:rowOff>0</xdr:rowOff>
    </xdr:from>
    <xdr:to>
      <xdr:col>5</xdr:col>
      <xdr:colOff>0</xdr:colOff>
      <xdr:row>28</xdr:row>
      <xdr:rowOff>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F85492AE-7A86-2F80-FE9C-5A60D1F5BB6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0</xdr:colOff>
      <xdr:row>13</xdr:row>
      <xdr:rowOff>0</xdr:rowOff>
    </xdr:from>
    <xdr:to>
      <xdr:col>10</xdr:col>
      <xdr:colOff>0</xdr:colOff>
      <xdr:row>28</xdr:row>
      <xdr:rowOff>0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78E775AB-9FE7-58D6-2343-5A6FB7BA64F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10</xdr:col>
      <xdr:colOff>0</xdr:colOff>
      <xdr:row>13</xdr:row>
      <xdr:rowOff>0</xdr:rowOff>
    </xdr:from>
    <xdr:to>
      <xdr:col>15</xdr:col>
      <xdr:colOff>0</xdr:colOff>
      <xdr:row>28</xdr:row>
      <xdr:rowOff>0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AACEB3CA-864B-CB1C-1D2F-618151DECAA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0</xdr:colOff>
      <xdr:row>37</xdr:row>
      <xdr:rowOff>0</xdr:rowOff>
    </xdr:from>
    <xdr:to>
      <xdr:col>5</xdr:col>
      <xdr:colOff>0</xdr:colOff>
      <xdr:row>52</xdr:row>
      <xdr:rowOff>0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285AC3AA-1AFD-11B8-C865-A8FAA0B4BAB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8E418B5-7ABA-4B95-9F0A-E5FEA1DA89AD}" name="TablaSalud" displayName="TablaSalud" ref="A1:G60" totalsRowShown="0" headerRowDxfId="1" dataDxfId="0">
  <autoFilter ref="A1:G60" xr:uid="{78E418B5-7ABA-4B95-9F0A-E5FEA1DA89AD}"/>
  <tableColumns count="7">
    <tableColumn id="1" xr3:uid="{A193B20C-D4B5-4EB2-BAC1-EC2FF3BCFB0D}" name="ID" dataDxfId="8"/>
    <tableColumn id="2" xr3:uid="{03326600-27A5-4109-AC72-82737949106A}" name="Edad" dataDxfId="7"/>
    <tableColumn id="3" xr3:uid="{53732B3F-D165-4430-B7AE-404E890C318F}" name="Presion_Sistolica" dataDxfId="6"/>
    <tableColumn id="4" xr3:uid="{40B48C36-1530-4492-96DF-83D48F239FDD}" name="Altura" dataDxfId="5"/>
    <tableColumn id="5" xr3:uid="{27227C30-C5A5-4AD3-B4D2-8FF281FDA3FA}" name="Peso" dataDxfId="4"/>
    <tableColumn id="6" xr3:uid="{1CD75DE6-2F56-4E01-9E19-9429718E284B}" name="Clasificacion_Presion" dataDxfId="3"/>
    <tableColumn id="7" xr3:uid="{629FE4CD-8D14-4910-BE51-7BF4B33F111F}" name="Genero" dataDxfId="2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433" row="0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12EB63E9-3A9A-4DB7-9A41-3C23E2F7FE91}">
  <we:reference id="wa200010725" version="1.0.0.1" store="es-MX" storeType="OMEX"/>
  <we:alternateReferences>
    <we:reference id="WA200010725" version="1.0.0.1" store="" storeType="OMEX"/>
  </we:alternateReferences>
  <we:properties>
    <we:property name="claude.fileId" value="&quot;f105a7e2-04f0-48c4-9b01-26d68bbe22dc&quot;"/>
  </we:properties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D74FFD-A9C0-46CC-865E-9180A08EB9D7}">
  <dimension ref="A1:G60"/>
  <sheetViews>
    <sheetView tabSelected="1" topLeftCell="B1" workbookViewId="0">
      <selection activeCell="E7" sqref="E7"/>
    </sheetView>
  </sheetViews>
  <sheetFormatPr baseColWidth="10" defaultRowHeight="15" x14ac:dyDescent="0.25"/>
  <cols>
    <col min="1" max="1" width="5.42578125" style="9" bestFit="1" customWidth="1"/>
    <col min="2" max="2" width="10" style="9" bestFit="1" customWidth="1"/>
    <col min="3" max="3" width="21.140625" style="9" bestFit="1" customWidth="1"/>
    <col min="4" max="4" width="10.85546875" style="9" bestFit="1" customWidth="1"/>
    <col min="5" max="5" width="10" style="9" bestFit="1" customWidth="1"/>
    <col min="6" max="6" width="25.140625" style="9" bestFit="1" customWidth="1"/>
    <col min="7" max="7" width="12.28515625" style="9" bestFit="1" customWidth="1"/>
    <col min="8" max="16384" width="11.42578125" style="9"/>
  </cols>
  <sheetData>
    <row r="1" spans="1:7" x14ac:dyDescent="0.25">
      <c r="A1" s="8" t="s">
        <v>0</v>
      </c>
      <c r="B1" s="9" t="s">
        <v>1</v>
      </c>
      <c r="C1" s="9" t="s">
        <v>2</v>
      </c>
      <c r="D1" s="9" t="s">
        <v>3</v>
      </c>
      <c r="E1" s="9" t="s">
        <v>4</v>
      </c>
      <c r="F1" s="9" t="s">
        <v>5</v>
      </c>
      <c r="G1" s="9" t="s">
        <v>6</v>
      </c>
    </row>
    <row r="2" spans="1:7" x14ac:dyDescent="0.25">
      <c r="A2" s="9">
        <v>1</v>
      </c>
      <c r="B2" s="9">
        <v>39</v>
      </c>
      <c r="C2" s="9">
        <v>144</v>
      </c>
      <c r="D2" s="10">
        <v>1.65</v>
      </c>
      <c r="E2" s="9">
        <v>76</v>
      </c>
      <c r="F2" s="9" t="s">
        <v>7</v>
      </c>
      <c r="G2" s="9" t="s">
        <v>8</v>
      </c>
    </row>
    <row r="3" spans="1:7" x14ac:dyDescent="0.25">
      <c r="A3" s="9">
        <v>2</v>
      </c>
      <c r="B3" s="9">
        <v>47</v>
      </c>
      <c r="C3" s="9">
        <v>220</v>
      </c>
      <c r="D3" s="10">
        <v>1.72</v>
      </c>
      <c r="E3" s="9">
        <v>85</v>
      </c>
      <c r="F3" s="9" t="s">
        <v>9</v>
      </c>
      <c r="G3" s="9" t="s">
        <v>10</v>
      </c>
    </row>
    <row r="4" spans="1:7" x14ac:dyDescent="0.25">
      <c r="A4" s="9">
        <v>3</v>
      </c>
      <c r="B4" s="9">
        <v>45</v>
      </c>
      <c r="C4" s="9">
        <v>138</v>
      </c>
      <c r="D4" s="10">
        <v>1.63</v>
      </c>
      <c r="E4" s="9">
        <v>65</v>
      </c>
      <c r="F4" s="9" t="s">
        <v>11</v>
      </c>
      <c r="G4" s="9" t="s">
        <v>8</v>
      </c>
    </row>
    <row r="5" spans="1:7" x14ac:dyDescent="0.25">
      <c r="A5" s="9">
        <v>4</v>
      </c>
      <c r="B5" s="9">
        <v>47</v>
      </c>
      <c r="C5" s="9">
        <v>145</v>
      </c>
      <c r="D5" s="10">
        <v>1.73</v>
      </c>
      <c r="E5" s="9">
        <v>82</v>
      </c>
      <c r="F5" s="9" t="s">
        <v>7</v>
      </c>
      <c r="G5" s="9" t="s">
        <v>10</v>
      </c>
    </row>
    <row r="6" spans="1:7" x14ac:dyDescent="0.25">
      <c r="A6" s="9">
        <v>5</v>
      </c>
      <c r="B6" s="9">
        <v>65</v>
      </c>
      <c r="C6" s="9">
        <v>162</v>
      </c>
      <c r="D6" s="10">
        <v>1.65</v>
      </c>
      <c r="E6" s="9">
        <v>88</v>
      </c>
      <c r="F6" s="9" t="s">
        <v>12</v>
      </c>
      <c r="G6" s="9" t="s">
        <v>8</v>
      </c>
    </row>
    <row r="7" spans="1:7" x14ac:dyDescent="0.25">
      <c r="A7" s="9">
        <v>6</v>
      </c>
      <c r="B7" s="9">
        <v>46</v>
      </c>
      <c r="C7" s="9">
        <v>142</v>
      </c>
      <c r="D7" s="10">
        <v>1.73</v>
      </c>
      <c r="E7" s="9">
        <v>79</v>
      </c>
      <c r="F7" s="9" t="s">
        <v>7</v>
      </c>
      <c r="G7" s="9" t="s">
        <v>10</v>
      </c>
    </row>
    <row r="8" spans="1:7" x14ac:dyDescent="0.25">
      <c r="A8" s="9">
        <v>7</v>
      </c>
      <c r="B8" s="9">
        <v>67</v>
      </c>
      <c r="C8" s="9">
        <v>170</v>
      </c>
      <c r="D8" s="10">
        <v>1.69</v>
      </c>
      <c r="E8" s="9">
        <v>90</v>
      </c>
      <c r="F8" s="9" t="s">
        <v>12</v>
      </c>
      <c r="G8" s="9" t="s">
        <v>10</v>
      </c>
    </row>
    <row r="9" spans="1:7" x14ac:dyDescent="0.25">
      <c r="A9" s="9">
        <v>8</v>
      </c>
      <c r="B9" s="9">
        <v>42</v>
      </c>
      <c r="C9" s="9">
        <v>124</v>
      </c>
      <c r="D9" s="10">
        <v>1.62</v>
      </c>
      <c r="E9" s="9">
        <v>60</v>
      </c>
      <c r="F9" s="9" t="s">
        <v>11</v>
      </c>
      <c r="G9" s="9" t="s">
        <v>8</v>
      </c>
    </row>
    <row r="10" spans="1:7" x14ac:dyDescent="0.25">
      <c r="A10" s="9">
        <v>9</v>
      </c>
      <c r="B10" s="9">
        <v>67</v>
      </c>
      <c r="C10" s="9">
        <v>158</v>
      </c>
      <c r="D10" s="10">
        <v>1.79</v>
      </c>
      <c r="E10" s="9">
        <v>84</v>
      </c>
      <c r="F10" s="9" t="s">
        <v>7</v>
      </c>
      <c r="G10" s="9" t="s">
        <v>10</v>
      </c>
    </row>
    <row r="11" spans="1:7" x14ac:dyDescent="0.25">
      <c r="A11" s="9">
        <v>10</v>
      </c>
      <c r="B11" s="9">
        <v>56</v>
      </c>
      <c r="C11" s="9">
        <v>154</v>
      </c>
      <c r="D11" s="10">
        <v>1.65</v>
      </c>
      <c r="E11" s="9">
        <v>80</v>
      </c>
      <c r="F11" s="9" t="s">
        <v>7</v>
      </c>
      <c r="G11" s="9" t="s">
        <v>8</v>
      </c>
    </row>
    <row r="12" spans="1:7" x14ac:dyDescent="0.25">
      <c r="A12" s="9">
        <v>11</v>
      </c>
      <c r="B12" s="9">
        <v>64</v>
      </c>
      <c r="C12" s="9">
        <v>162</v>
      </c>
      <c r="D12" s="10">
        <v>1.66</v>
      </c>
      <c r="E12" s="9">
        <v>86</v>
      </c>
      <c r="F12" s="9" t="s">
        <v>12</v>
      </c>
      <c r="G12" s="9" t="s">
        <v>8</v>
      </c>
    </row>
    <row r="13" spans="1:7" x14ac:dyDescent="0.25">
      <c r="A13" s="9">
        <v>12</v>
      </c>
      <c r="B13" s="9">
        <v>56</v>
      </c>
      <c r="C13" s="9">
        <v>150</v>
      </c>
      <c r="D13" s="10">
        <v>1.8</v>
      </c>
      <c r="E13" s="9">
        <v>78</v>
      </c>
      <c r="F13" s="9" t="s">
        <v>7</v>
      </c>
      <c r="G13" s="9" t="s">
        <v>10</v>
      </c>
    </row>
    <row r="14" spans="1:7" x14ac:dyDescent="0.25">
      <c r="A14" s="9">
        <v>13</v>
      </c>
      <c r="B14" s="9">
        <v>59</v>
      </c>
      <c r="C14" s="9">
        <v>140</v>
      </c>
      <c r="D14" s="10">
        <v>1.65</v>
      </c>
      <c r="E14" s="9">
        <v>77</v>
      </c>
      <c r="F14" s="9" t="s">
        <v>7</v>
      </c>
      <c r="G14" s="9" t="s">
        <v>8</v>
      </c>
    </row>
    <row r="15" spans="1:7" x14ac:dyDescent="0.25">
      <c r="A15" s="9">
        <v>14</v>
      </c>
      <c r="B15" s="9">
        <v>34</v>
      </c>
      <c r="C15" s="9">
        <v>110</v>
      </c>
      <c r="D15" s="10">
        <v>1.77</v>
      </c>
      <c r="E15" s="9">
        <v>68</v>
      </c>
      <c r="F15" s="9" t="s">
        <v>13</v>
      </c>
      <c r="G15" s="9" t="s">
        <v>10</v>
      </c>
    </row>
    <row r="16" spans="1:7" x14ac:dyDescent="0.25">
      <c r="A16" s="9">
        <v>15</v>
      </c>
      <c r="B16" s="9">
        <v>42</v>
      </c>
      <c r="C16" s="9">
        <v>128</v>
      </c>
      <c r="D16" s="10">
        <v>1.54</v>
      </c>
      <c r="E16" s="9">
        <v>64</v>
      </c>
      <c r="F16" s="9" t="s">
        <v>11</v>
      </c>
      <c r="G16" s="9" t="s">
        <v>8</v>
      </c>
    </row>
    <row r="17" spans="1:7" x14ac:dyDescent="0.25">
      <c r="A17" s="9">
        <v>16</v>
      </c>
      <c r="B17" s="9">
        <v>48</v>
      </c>
      <c r="C17" s="9">
        <v>130</v>
      </c>
      <c r="D17" s="10">
        <v>1.7</v>
      </c>
      <c r="E17" s="9">
        <v>72</v>
      </c>
      <c r="F17" s="9" t="s">
        <v>11</v>
      </c>
      <c r="G17" s="9" t="s">
        <v>10</v>
      </c>
    </row>
    <row r="18" spans="1:7" x14ac:dyDescent="0.25">
      <c r="A18" s="9">
        <v>17</v>
      </c>
      <c r="B18" s="9">
        <v>45</v>
      </c>
      <c r="C18" s="9">
        <v>135</v>
      </c>
      <c r="D18" s="10">
        <v>1.79</v>
      </c>
      <c r="E18" s="9">
        <v>75</v>
      </c>
      <c r="F18" s="9" t="s">
        <v>11</v>
      </c>
      <c r="G18" s="9" t="s">
        <v>10</v>
      </c>
    </row>
    <row r="19" spans="1:7" x14ac:dyDescent="0.25">
      <c r="A19" s="9">
        <v>18</v>
      </c>
      <c r="B19" s="9">
        <v>17</v>
      </c>
      <c r="C19" s="9">
        <v>114</v>
      </c>
      <c r="D19" s="10">
        <v>1.68</v>
      </c>
      <c r="E19" s="9">
        <v>58</v>
      </c>
      <c r="F19" s="9" t="s">
        <v>13</v>
      </c>
      <c r="G19" s="9" t="s">
        <v>10</v>
      </c>
    </row>
    <row r="20" spans="1:7" x14ac:dyDescent="0.25">
      <c r="A20" s="9">
        <v>19</v>
      </c>
      <c r="B20" s="9">
        <v>20</v>
      </c>
      <c r="C20" s="9">
        <v>116</v>
      </c>
      <c r="D20" s="10">
        <v>1.7</v>
      </c>
      <c r="E20" s="9">
        <v>62</v>
      </c>
      <c r="F20" s="9" t="s">
        <v>13</v>
      </c>
      <c r="G20" s="9" t="s">
        <v>10</v>
      </c>
    </row>
    <row r="21" spans="1:7" x14ac:dyDescent="0.25">
      <c r="A21" s="9">
        <v>20</v>
      </c>
      <c r="B21" s="9">
        <v>19</v>
      </c>
      <c r="C21" s="9">
        <v>124</v>
      </c>
      <c r="D21" s="10">
        <v>1.67</v>
      </c>
      <c r="E21" s="9">
        <v>65</v>
      </c>
      <c r="F21" s="9" t="s">
        <v>11</v>
      </c>
      <c r="G21" s="9" t="s">
        <v>8</v>
      </c>
    </row>
    <row r="22" spans="1:7" x14ac:dyDescent="0.25">
      <c r="A22" s="9">
        <v>21</v>
      </c>
      <c r="B22" s="9">
        <v>36</v>
      </c>
      <c r="C22" s="9">
        <v>136</v>
      </c>
      <c r="D22" s="10">
        <v>1.78</v>
      </c>
      <c r="E22" s="9">
        <v>80</v>
      </c>
      <c r="F22" s="9" t="s">
        <v>11</v>
      </c>
      <c r="G22" s="9" t="s">
        <v>10</v>
      </c>
    </row>
    <row r="23" spans="1:7" x14ac:dyDescent="0.25">
      <c r="A23" s="9">
        <v>22</v>
      </c>
      <c r="B23" s="9">
        <v>50</v>
      </c>
      <c r="C23" s="9">
        <v>142</v>
      </c>
      <c r="D23" s="10">
        <v>1.66</v>
      </c>
      <c r="E23" s="9">
        <v>79</v>
      </c>
      <c r="F23" s="9" t="s">
        <v>7</v>
      </c>
      <c r="G23" s="9" t="s">
        <v>8</v>
      </c>
    </row>
    <row r="24" spans="1:7" x14ac:dyDescent="0.25">
      <c r="A24" s="9">
        <v>23</v>
      </c>
      <c r="B24" s="9">
        <v>39</v>
      </c>
      <c r="C24" s="9">
        <v>120</v>
      </c>
      <c r="D24" s="10">
        <v>1.64</v>
      </c>
      <c r="E24" s="9">
        <v>63</v>
      </c>
      <c r="F24" s="9" t="s">
        <v>11</v>
      </c>
      <c r="G24" s="9" t="s">
        <v>8</v>
      </c>
    </row>
    <row r="25" spans="1:7" x14ac:dyDescent="0.25">
      <c r="A25" s="9">
        <v>24</v>
      </c>
      <c r="B25" s="9">
        <v>21</v>
      </c>
      <c r="C25" s="9">
        <v>120</v>
      </c>
      <c r="D25" s="10">
        <v>1.73</v>
      </c>
      <c r="E25" s="9">
        <v>66</v>
      </c>
      <c r="F25" s="9" t="s">
        <v>11</v>
      </c>
      <c r="G25" s="9" t="s">
        <v>10</v>
      </c>
    </row>
    <row r="26" spans="1:7" x14ac:dyDescent="0.25">
      <c r="A26" s="9">
        <v>25</v>
      </c>
      <c r="B26" s="9">
        <v>44</v>
      </c>
      <c r="C26" s="9">
        <v>160</v>
      </c>
      <c r="D26" s="10">
        <v>1.66</v>
      </c>
      <c r="E26" s="9">
        <v>85</v>
      </c>
      <c r="F26" s="9" t="s">
        <v>12</v>
      </c>
      <c r="G26" s="9" t="s">
        <v>8</v>
      </c>
    </row>
    <row r="27" spans="1:7" x14ac:dyDescent="0.25">
      <c r="A27" s="9">
        <v>26</v>
      </c>
      <c r="B27" s="9">
        <v>53</v>
      </c>
      <c r="C27" s="9">
        <v>158</v>
      </c>
      <c r="D27" s="10">
        <v>1.7</v>
      </c>
      <c r="E27" s="9">
        <v>82</v>
      </c>
      <c r="F27" s="9" t="s">
        <v>7</v>
      </c>
      <c r="G27" s="9" t="s">
        <v>10</v>
      </c>
    </row>
    <row r="28" spans="1:7" x14ac:dyDescent="0.25">
      <c r="A28" s="9">
        <v>27</v>
      </c>
      <c r="B28" s="9">
        <v>63</v>
      </c>
      <c r="C28" s="9">
        <v>144</v>
      </c>
      <c r="D28" s="10">
        <v>1.69</v>
      </c>
      <c r="E28" s="9">
        <v>80</v>
      </c>
      <c r="F28" s="9" t="s">
        <v>7</v>
      </c>
      <c r="G28" s="9" t="s">
        <v>8</v>
      </c>
    </row>
    <row r="29" spans="1:7" x14ac:dyDescent="0.25">
      <c r="A29" s="9">
        <v>28</v>
      </c>
      <c r="B29" s="9">
        <v>29</v>
      </c>
      <c r="C29" s="9">
        <v>130</v>
      </c>
      <c r="D29" s="10">
        <v>1.75</v>
      </c>
      <c r="E29" s="9">
        <v>70</v>
      </c>
      <c r="F29" s="9" t="s">
        <v>11</v>
      </c>
      <c r="G29" s="9" t="s">
        <v>10</v>
      </c>
    </row>
    <row r="30" spans="1:7" x14ac:dyDescent="0.25">
      <c r="A30" s="9">
        <v>29</v>
      </c>
      <c r="B30" s="9">
        <v>25</v>
      </c>
      <c r="C30" s="9">
        <v>125</v>
      </c>
      <c r="D30" s="10">
        <v>1.72</v>
      </c>
      <c r="E30" s="9">
        <v>68</v>
      </c>
      <c r="F30" s="9" t="s">
        <v>11</v>
      </c>
      <c r="G30" s="9" t="s">
        <v>10</v>
      </c>
    </row>
    <row r="31" spans="1:7" x14ac:dyDescent="0.25">
      <c r="A31" s="9">
        <v>30</v>
      </c>
      <c r="B31" s="9">
        <v>69</v>
      </c>
      <c r="C31" s="9">
        <v>175</v>
      </c>
      <c r="D31" s="10">
        <v>1.67</v>
      </c>
      <c r="E31" s="9">
        <v>92</v>
      </c>
      <c r="F31" s="9" t="s">
        <v>12</v>
      </c>
      <c r="G31" s="9" t="s">
        <v>8</v>
      </c>
    </row>
    <row r="32" spans="1:7" x14ac:dyDescent="0.25">
      <c r="A32" s="9">
        <v>34</v>
      </c>
      <c r="B32" s="9">
        <v>56</v>
      </c>
      <c r="C32" s="9">
        <v>124</v>
      </c>
      <c r="D32" s="10">
        <v>1.65</v>
      </c>
      <c r="E32" s="9">
        <v>75</v>
      </c>
      <c r="F32" s="9" t="s">
        <v>11</v>
      </c>
      <c r="G32" s="9" t="s">
        <v>8</v>
      </c>
    </row>
    <row r="33" spans="1:7" x14ac:dyDescent="0.25">
      <c r="A33" s="9">
        <v>35</v>
      </c>
      <c r="B33" s="9">
        <v>69</v>
      </c>
      <c r="C33" s="9">
        <v>179</v>
      </c>
      <c r="D33" s="10">
        <v>1.68</v>
      </c>
      <c r="E33" s="9">
        <v>91</v>
      </c>
      <c r="F33" s="9" t="s">
        <v>12</v>
      </c>
      <c r="G33" s="9" t="s">
        <v>8</v>
      </c>
    </row>
    <row r="34" spans="1:7" x14ac:dyDescent="0.25">
      <c r="A34" s="9">
        <v>36</v>
      </c>
      <c r="B34" s="9">
        <v>46</v>
      </c>
      <c r="C34" s="9">
        <v>142</v>
      </c>
      <c r="D34" s="10">
        <v>1.72</v>
      </c>
      <c r="E34" s="9">
        <v>75</v>
      </c>
      <c r="F34" s="9" t="s">
        <v>7</v>
      </c>
      <c r="G34" s="9" t="s">
        <v>10</v>
      </c>
    </row>
    <row r="35" spans="1:7" x14ac:dyDescent="0.25">
      <c r="A35" s="9">
        <v>37</v>
      </c>
      <c r="B35" s="9">
        <v>32</v>
      </c>
      <c r="C35" s="9">
        <v>128</v>
      </c>
      <c r="D35" s="10">
        <v>1.74</v>
      </c>
      <c r="E35" s="9">
        <v>78</v>
      </c>
      <c r="F35" s="9" t="s">
        <v>11</v>
      </c>
      <c r="G35" s="9" t="s">
        <v>10</v>
      </c>
    </row>
    <row r="36" spans="1:7" x14ac:dyDescent="0.25">
      <c r="A36" s="9">
        <v>38</v>
      </c>
      <c r="B36" s="9">
        <v>60</v>
      </c>
      <c r="C36" s="9">
        <v>141</v>
      </c>
      <c r="D36" s="10">
        <v>1.67</v>
      </c>
      <c r="E36" s="9">
        <v>76</v>
      </c>
      <c r="F36" s="9" t="s">
        <v>7</v>
      </c>
      <c r="G36" s="9" t="s">
        <v>8</v>
      </c>
    </row>
    <row r="37" spans="1:7" x14ac:dyDescent="0.25">
      <c r="A37" s="9">
        <v>39</v>
      </c>
      <c r="B37" s="9">
        <v>25</v>
      </c>
      <c r="C37" s="9">
        <v>142</v>
      </c>
      <c r="D37" s="10">
        <v>1.73</v>
      </c>
      <c r="E37" s="9">
        <v>75</v>
      </c>
      <c r="F37" s="9" t="s">
        <v>7</v>
      </c>
      <c r="G37" s="9" t="s">
        <v>10</v>
      </c>
    </row>
    <row r="38" spans="1:7" x14ac:dyDescent="0.25">
      <c r="A38" s="9">
        <v>40</v>
      </c>
      <c r="B38" s="9">
        <v>38</v>
      </c>
      <c r="C38" s="9">
        <v>136</v>
      </c>
      <c r="D38" s="10">
        <v>1.7</v>
      </c>
      <c r="E38" s="9">
        <v>72</v>
      </c>
      <c r="F38" s="9" t="s">
        <v>11</v>
      </c>
      <c r="G38" s="9" t="s">
        <v>10</v>
      </c>
    </row>
    <row r="39" spans="1:7" x14ac:dyDescent="0.25">
      <c r="A39" s="9">
        <v>41</v>
      </c>
      <c r="B39" s="9">
        <v>56</v>
      </c>
      <c r="C39" s="9">
        <v>161</v>
      </c>
      <c r="D39" s="10">
        <v>1.66</v>
      </c>
      <c r="E39" s="9">
        <v>84</v>
      </c>
      <c r="F39" s="9" t="s">
        <v>12</v>
      </c>
      <c r="G39" s="9" t="s">
        <v>8</v>
      </c>
    </row>
    <row r="40" spans="1:7" x14ac:dyDescent="0.25">
      <c r="A40" s="9">
        <v>42</v>
      </c>
      <c r="B40" s="9">
        <v>36</v>
      </c>
      <c r="C40" s="9">
        <v>140</v>
      </c>
      <c r="D40" s="10">
        <v>1.71</v>
      </c>
      <c r="E40" s="9">
        <v>89</v>
      </c>
      <c r="F40" s="9" t="s">
        <v>7</v>
      </c>
      <c r="G40" s="9" t="s">
        <v>10</v>
      </c>
    </row>
    <row r="41" spans="1:7" x14ac:dyDescent="0.25">
      <c r="A41" s="9">
        <v>43</v>
      </c>
      <c r="B41" s="9">
        <v>40</v>
      </c>
      <c r="C41" s="9">
        <v>150</v>
      </c>
      <c r="D41" s="10">
        <v>1.68</v>
      </c>
      <c r="E41" s="9">
        <v>80</v>
      </c>
      <c r="F41" s="9" t="s">
        <v>7</v>
      </c>
      <c r="G41" s="9" t="s">
        <v>8</v>
      </c>
    </row>
    <row r="42" spans="1:7" x14ac:dyDescent="0.25">
      <c r="A42" s="9">
        <v>44</v>
      </c>
      <c r="B42" s="9">
        <v>28</v>
      </c>
      <c r="C42" s="9">
        <v>122</v>
      </c>
      <c r="D42" s="10">
        <v>1.72</v>
      </c>
      <c r="E42" s="9">
        <v>64</v>
      </c>
      <c r="F42" s="9" t="s">
        <v>11</v>
      </c>
      <c r="G42" s="9" t="s">
        <v>10</v>
      </c>
    </row>
    <row r="43" spans="1:7" x14ac:dyDescent="0.25">
      <c r="A43" s="9">
        <v>45</v>
      </c>
      <c r="B43" s="9">
        <v>28</v>
      </c>
      <c r="C43" s="9">
        <v>125</v>
      </c>
      <c r="D43" s="10">
        <v>1.69</v>
      </c>
      <c r="E43" s="9">
        <v>65</v>
      </c>
      <c r="F43" s="9" t="s">
        <v>11</v>
      </c>
      <c r="G43" s="9" t="s">
        <v>8</v>
      </c>
    </row>
    <row r="44" spans="1:7" x14ac:dyDescent="0.25">
      <c r="A44" s="9">
        <v>46</v>
      </c>
      <c r="B44" s="9">
        <v>41</v>
      </c>
      <c r="C44" s="9">
        <v>141</v>
      </c>
      <c r="D44" s="10">
        <v>1.7</v>
      </c>
      <c r="E44" s="9">
        <v>77</v>
      </c>
      <c r="F44" s="9" t="s">
        <v>7</v>
      </c>
      <c r="G44" s="9" t="s">
        <v>10</v>
      </c>
    </row>
    <row r="45" spans="1:7" x14ac:dyDescent="0.25">
      <c r="A45" s="9">
        <v>47</v>
      </c>
      <c r="B45" s="9">
        <v>70</v>
      </c>
      <c r="C45" s="9">
        <v>181</v>
      </c>
      <c r="D45" s="10">
        <v>1.67</v>
      </c>
      <c r="E45" s="9">
        <v>95</v>
      </c>
      <c r="F45" s="9" t="s">
        <v>9</v>
      </c>
      <c r="G45" s="9" t="s">
        <v>10</v>
      </c>
    </row>
    <row r="46" spans="1:7" x14ac:dyDescent="0.25">
      <c r="A46" s="9">
        <v>48</v>
      </c>
      <c r="B46" s="9">
        <v>53</v>
      </c>
      <c r="C46" s="9">
        <v>151</v>
      </c>
      <c r="D46" s="10">
        <v>1.71</v>
      </c>
      <c r="E46" s="9">
        <v>80</v>
      </c>
      <c r="F46" s="9" t="s">
        <v>7</v>
      </c>
      <c r="G46" s="9" t="s">
        <v>10</v>
      </c>
    </row>
    <row r="47" spans="1:7" x14ac:dyDescent="0.25">
      <c r="A47" s="9">
        <v>49</v>
      </c>
      <c r="B47" s="9">
        <v>57</v>
      </c>
      <c r="C47" s="9">
        <v>157</v>
      </c>
      <c r="D47" s="10">
        <v>1.68</v>
      </c>
      <c r="E47" s="9">
        <v>82</v>
      </c>
      <c r="F47" s="9" t="s">
        <v>7</v>
      </c>
      <c r="G47" s="9" t="s">
        <v>8</v>
      </c>
    </row>
    <row r="48" spans="1:7" x14ac:dyDescent="0.25">
      <c r="A48" s="9">
        <v>50</v>
      </c>
      <c r="B48" s="9">
        <v>41</v>
      </c>
      <c r="C48" s="9">
        <v>130</v>
      </c>
      <c r="D48" s="10">
        <v>1.73</v>
      </c>
      <c r="E48" s="9">
        <v>71</v>
      </c>
      <c r="F48" s="9" t="s">
        <v>11</v>
      </c>
      <c r="G48" s="9" t="s">
        <v>10</v>
      </c>
    </row>
    <row r="49" spans="1:7" x14ac:dyDescent="0.25">
      <c r="A49" s="9">
        <v>51</v>
      </c>
      <c r="B49" s="9">
        <v>20</v>
      </c>
      <c r="C49" s="9">
        <v>110</v>
      </c>
      <c r="D49" s="10">
        <v>1.69</v>
      </c>
      <c r="E49" s="9">
        <v>58</v>
      </c>
      <c r="F49" s="9" t="s">
        <v>13</v>
      </c>
      <c r="G49" s="9" t="s">
        <v>8</v>
      </c>
    </row>
    <row r="50" spans="1:7" x14ac:dyDescent="0.25">
      <c r="A50" s="9">
        <v>52</v>
      </c>
      <c r="B50" s="9">
        <v>39</v>
      </c>
      <c r="C50" s="9">
        <v>150</v>
      </c>
      <c r="D50" s="10">
        <v>1.77</v>
      </c>
      <c r="E50" s="9">
        <v>78</v>
      </c>
      <c r="F50" s="9" t="s">
        <v>7</v>
      </c>
      <c r="G50" s="9" t="s">
        <v>10</v>
      </c>
    </row>
    <row r="51" spans="1:7" x14ac:dyDescent="0.25">
      <c r="A51" s="9">
        <v>53</v>
      </c>
      <c r="B51" s="9">
        <v>70</v>
      </c>
      <c r="C51" s="9">
        <v>193</v>
      </c>
      <c r="D51" s="10">
        <v>1.66</v>
      </c>
      <c r="E51" s="9">
        <v>97</v>
      </c>
      <c r="F51" s="9" t="s">
        <v>9</v>
      </c>
      <c r="G51" s="9" t="s">
        <v>10</v>
      </c>
    </row>
    <row r="52" spans="1:7" x14ac:dyDescent="0.25">
      <c r="A52" s="9">
        <v>54</v>
      </c>
      <c r="B52" s="9">
        <v>19</v>
      </c>
      <c r="C52" s="9">
        <v>111</v>
      </c>
      <c r="D52" s="10">
        <v>1.68</v>
      </c>
      <c r="E52" s="9">
        <v>59</v>
      </c>
      <c r="F52" s="9" t="s">
        <v>13</v>
      </c>
      <c r="G52" s="9" t="s">
        <v>8</v>
      </c>
    </row>
    <row r="53" spans="1:7" x14ac:dyDescent="0.25">
      <c r="A53" s="9">
        <v>55</v>
      </c>
      <c r="B53" s="9">
        <v>41</v>
      </c>
      <c r="C53" s="9">
        <v>145</v>
      </c>
      <c r="D53" s="10">
        <v>1.72</v>
      </c>
      <c r="E53" s="9">
        <v>79</v>
      </c>
      <c r="F53" s="9" t="s">
        <v>7</v>
      </c>
      <c r="G53" s="9" t="s">
        <v>10</v>
      </c>
    </row>
    <row r="54" spans="1:7" x14ac:dyDescent="0.25">
      <c r="A54" s="9">
        <v>56</v>
      </c>
      <c r="B54" s="9">
        <v>61</v>
      </c>
      <c r="C54" s="9">
        <v>146</v>
      </c>
      <c r="D54" s="10">
        <v>1.67</v>
      </c>
      <c r="E54" s="9">
        <v>81</v>
      </c>
      <c r="F54" s="9" t="s">
        <v>7</v>
      </c>
      <c r="G54" s="9" t="s">
        <v>8</v>
      </c>
    </row>
    <row r="55" spans="1:7" x14ac:dyDescent="0.25">
      <c r="A55" s="9">
        <v>57</v>
      </c>
      <c r="B55" s="9">
        <v>47</v>
      </c>
      <c r="C55" s="9">
        <v>141</v>
      </c>
      <c r="D55" s="10">
        <v>1.75</v>
      </c>
      <c r="E55" s="9">
        <v>78</v>
      </c>
      <c r="F55" s="9" t="s">
        <v>7</v>
      </c>
      <c r="G55" s="9" t="s">
        <v>10</v>
      </c>
    </row>
    <row r="56" spans="1:7" x14ac:dyDescent="0.25">
      <c r="A56" s="9">
        <v>58</v>
      </c>
      <c r="B56" s="9">
        <v>55</v>
      </c>
      <c r="C56" s="9">
        <v>150</v>
      </c>
      <c r="D56" s="10">
        <v>1.69</v>
      </c>
      <c r="E56" s="9">
        <v>80</v>
      </c>
      <c r="F56" s="9" t="s">
        <v>7</v>
      </c>
      <c r="G56" s="9" t="s">
        <v>10</v>
      </c>
    </row>
    <row r="57" spans="1:7" x14ac:dyDescent="0.25">
      <c r="A57" s="9">
        <v>59</v>
      </c>
      <c r="B57" s="9">
        <v>19</v>
      </c>
      <c r="C57" s="9">
        <v>136</v>
      </c>
      <c r="D57" s="10">
        <v>1.65</v>
      </c>
      <c r="E57" s="9">
        <v>63</v>
      </c>
      <c r="F57" s="9" t="s">
        <v>11</v>
      </c>
      <c r="G57" s="9" t="s">
        <v>8</v>
      </c>
    </row>
    <row r="58" spans="1:7" x14ac:dyDescent="0.25">
      <c r="A58" s="9">
        <v>60</v>
      </c>
      <c r="B58" s="9">
        <v>38</v>
      </c>
      <c r="C58" s="9">
        <v>141</v>
      </c>
      <c r="D58" s="10">
        <v>1.71</v>
      </c>
      <c r="E58" s="9">
        <v>77</v>
      </c>
      <c r="F58" s="9" t="s">
        <v>7</v>
      </c>
      <c r="G58" s="9" t="s">
        <v>10</v>
      </c>
    </row>
    <row r="59" spans="1:7" x14ac:dyDescent="0.25">
      <c r="A59" s="9">
        <v>61</v>
      </c>
      <c r="B59" s="9">
        <v>50</v>
      </c>
      <c r="C59" s="9">
        <v>132</v>
      </c>
      <c r="D59" s="10">
        <v>1.54</v>
      </c>
      <c r="E59" s="9">
        <v>70</v>
      </c>
      <c r="F59" s="9" t="s">
        <v>11</v>
      </c>
      <c r="G59" s="9" t="s">
        <v>8</v>
      </c>
    </row>
    <row r="60" spans="1:7" x14ac:dyDescent="0.25">
      <c r="A60" s="9">
        <v>62</v>
      </c>
      <c r="B60" s="9">
        <v>29</v>
      </c>
      <c r="C60" s="9">
        <v>110</v>
      </c>
      <c r="D60" s="10">
        <v>1.68</v>
      </c>
      <c r="E60" s="9">
        <v>62</v>
      </c>
      <c r="F60" s="9" t="s">
        <v>13</v>
      </c>
      <c r="G60" s="9" t="s">
        <v>8</v>
      </c>
    </row>
  </sheetData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7EFF97-0F67-43E9-A9E1-0AD5D360BD98}">
  <dimension ref="A1:H36"/>
  <sheetViews>
    <sheetView workbookViewId="0"/>
  </sheetViews>
  <sheetFormatPr baseColWidth="10" defaultRowHeight="15" x14ac:dyDescent="0.25"/>
  <cols>
    <col min="1" max="1" width="47" bestFit="1" customWidth="1"/>
    <col min="2" max="2" width="9.85546875" bestFit="1" customWidth="1"/>
    <col min="3" max="3" width="14.5703125" bestFit="1" customWidth="1"/>
    <col min="4" max="4" width="25.7109375" bestFit="1" customWidth="1"/>
    <col min="5" max="5" width="22" bestFit="1" customWidth="1"/>
    <col min="6" max="6" width="5.5703125" bestFit="1" customWidth="1"/>
    <col min="7" max="7" width="31.5703125" bestFit="1" customWidth="1"/>
    <col min="8" max="8" width="13.5703125" bestFit="1" customWidth="1"/>
  </cols>
  <sheetData>
    <row r="1" spans="1:8" ht="24" x14ac:dyDescent="0.4">
      <c r="A1" s="1" t="s">
        <v>14</v>
      </c>
    </row>
    <row r="3" spans="1:8" x14ac:dyDescent="0.25">
      <c r="A3" s="3" t="s">
        <v>15</v>
      </c>
      <c r="B3" s="4">
        <f>COUNT(TablaSalud[ID])</f>
        <v>59</v>
      </c>
      <c r="C3" s="3" t="s">
        <v>16</v>
      </c>
      <c r="D3" s="5">
        <f>AVERAGE(TablaSalud[Edad])</f>
        <v>44.372881355932201</v>
      </c>
      <c r="E3" s="3" t="s">
        <v>17</v>
      </c>
      <c r="F3" s="5">
        <f>AVERAGE(TablaSalud[Presion_Sistolica])</f>
        <v>142.22033898305085</v>
      </c>
      <c r="G3" s="3" t="s">
        <v>18</v>
      </c>
      <c r="H3" s="5">
        <f>AVERAGE(TablaSalud[Peso])</f>
        <v>75.762711864406782</v>
      </c>
    </row>
    <row r="6" spans="1:8" ht="17.25" x14ac:dyDescent="0.3">
      <c r="A6" s="6" t="s">
        <v>19</v>
      </c>
      <c r="D6" s="6" t="s">
        <v>22</v>
      </c>
      <c r="G6" s="6" t="s">
        <v>24</v>
      </c>
    </row>
    <row r="7" spans="1:8" x14ac:dyDescent="0.25">
      <c r="A7" s="2" t="s">
        <v>20</v>
      </c>
      <c r="B7" s="2" t="s">
        <v>21</v>
      </c>
      <c r="D7" s="2" t="s">
        <v>23</v>
      </c>
      <c r="E7" s="2" t="s">
        <v>21</v>
      </c>
      <c r="G7" s="2" t="s">
        <v>23</v>
      </c>
      <c r="H7" s="2" t="s">
        <v>25</v>
      </c>
    </row>
    <row r="8" spans="1:8" x14ac:dyDescent="0.25">
      <c r="A8" t="s">
        <v>13</v>
      </c>
      <c r="B8">
        <f>COUNTIF(TablaSalud[Clasificacion_Presion],A8)</f>
        <v>6</v>
      </c>
      <c r="D8" t="s">
        <v>8</v>
      </c>
      <c r="E8">
        <f>COUNTIF(TablaSalud[Genero],D8)</f>
        <v>27</v>
      </c>
      <c r="G8" t="s">
        <v>8</v>
      </c>
      <c r="H8" s="7">
        <f>AVERAGEIF(TablaSalud[Genero],G8,TablaSalud[Presion_Sistolica])</f>
        <v>140.7037037037037</v>
      </c>
    </row>
    <row r="9" spans="1:8" x14ac:dyDescent="0.25">
      <c r="A9" t="s">
        <v>11</v>
      </c>
      <c r="B9">
        <f>COUNTIF(TablaSalud[Clasificacion_Presion],A9)</f>
        <v>19</v>
      </c>
      <c r="D9" t="s">
        <v>10</v>
      </c>
      <c r="E9">
        <f>COUNTIF(TablaSalud[Genero],D9)</f>
        <v>32</v>
      </c>
      <c r="G9" t="s">
        <v>10</v>
      </c>
      <c r="H9" s="7">
        <f>AVERAGEIF(TablaSalud[Genero],G9,TablaSalud[Presion_Sistolica])</f>
        <v>143.5</v>
      </c>
    </row>
    <row r="10" spans="1:8" x14ac:dyDescent="0.25">
      <c r="A10" t="s">
        <v>7</v>
      </c>
      <c r="B10">
        <f>COUNTIF(TablaSalud[Clasificacion_Presion],A10)</f>
        <v>24</v>
      </c>
    </row>
    <row r="11" spans="1:8" x14ac:dyDescent="0.25">
      <c r="A11" t="s">
        <v>12</v>
      </c>
      <c r="B11">
        <f>COUNTIF(TablaSalud[Clasificacion_Presion],A11)</f>
        <v>7</v>
      </c>
    </row>
    <row r="12" spans="1:8" x14ac:dyDescent="0.25">
      <c r="A12" t="s">
        <v>9</v>
      </c>
      <c r="B12">
        <f>COUNTIF(TablaSalud[Clasificacion_Presion],A12)</f>
        <v>3</v>
      </c>
    </row>
    <row r="31" spans="1:2" x14ac:dyDescent="0.25">
      <c r="A31" s="2" t="s">
        <v>26</v>
      </c>
      <c r="B31" s="2" t="s">
        <v>21</v>
      </c>
    </row>
    <row r="32" spans="1:2" x14ac:dyDescent="0.25">
      <c r="A32" t="s">
        <v>27</v>
      </c>
      <c r="B32">
        <f>COUNTIFS(TablaSalud[Edad],"&gt;=0",TablaSalud[Edad],"&lt;=20")</f>
        <v>6</v>
      </c>
    </row>
    <row r="33" spans="1:2" x14ac:dyDescent="0.25">
      <c r="A33" t="s">
        <v>28</v>
      </c>
      <c r="B33">
        <f>COUNTIFS(TablaSalud[Edad],"&gt;=21",TablaSalud[Edad],"&lt;=35")</f>
        <v>9</v>
      </c>
    </row>
    <row r="34" spans="1:2" x14ac:dyDescent="0.25">
      <c r="A34" t="s">
        <v>29</v>
      </c>
      <c r="B34">
        <f>COUNTIFS(TablaSalud[Edad],"&gt;=36",TablaSalud[Edad],"&lt;=50")</f>
        <v>24</v>
      </c>
    </row>
    <row r="35" spans="1:2" x14ac:dyDescent="0.25">
      <c r="A35" t="s">
        <v>30</v>
      </c>
      <c r="B35">
        <f>COUNTIFS(TablaSalud[Edad],"&gt;=51",TablaSalud[Edad],"&lt;=65")</f>
        <v>14</v>
      </c>
    </row>
    <row r="36" spans="1:2" x14ac:dyDescent="0.25">
      <c r="A36" t="s">
        <v>31</v>
      </c>
      <c r="B36">
        <f>COUNTIFS(TablaSalud[Edad],"&gt;=66")</f>
        <v>6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2</vt:i4>
      </vt:variant>
    </vt:vector>
  </HeadingPairs>
  <TitlesOfParts>
    <vt:vector size="2" baseType="lpstr">
      <vt:lpstr>DataSet</vt:lpstr>
      <vt:lpstr>Dashboard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Rocío Márquez</cp:lastModifiedBy>
  <dcterms:created xsi:type="dcterms:W3CDTF">2026-09-13T18:00:35Z</dcterms:created>
  <dcterms:modified xsi:type="dcterms:W3CDTF">2026-09-13T18:00:57Z</dcterms:modified>
</cp:coreProperties>
</file>